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/>
  <mc:AlternateContent xmlns:mc="http://schemas.openxmlformats.org/markup-compatibility/2006">
    <mc:Choice Requires="x15">
      <x15ac:absPath xmlns:x15ac="http://schemas.microsoft.com/office/spreadsheetml/2010/11/ac" url="C:\Users\erayc\OneDrive\Masaüstü\"/>
    </mc:Choice>
  </mc:AlternateContent>
  <xr:revisionPtr revIDLastSave="0" documentId="13_ncr:1_{9501E48E-43C0-4BD8-ADCD-DD39CE360151}" xr6:coauthVersionLast="47" xr6:coauthVersionMax="47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Sheet1" sheetId="1" state="hidden" r:id="rId1"/>
    <sheet name="Sayfa1" sheetId="2" r:id="rId2"/>
    <sheet name="Sayfa2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2" i="2"/>
  <c r="B8" i="2"/>
  <c r="B7" i="2"/>
  <c r="B6" i="2"/>
</calcChain>
</file>

<file path=xl/sharedStrings.xml><?xml version="1.0" encoding="utf-8"?>
<sst xmlns="http://schemas.openxmlformats.org/spreadsheetml/2006/main" count="47" uniqueCount="29">
  <si>
    <t>Dersler</t>
  </si>
  <si>
    <t>Türkçe</t>
  </si>
  <si>
    <t>Matematik</t>
  </si>
  <si>
    <t>Din Kültürü</t>
  </si>
  <si>
    <t>Tarih</t>
  </si>
  <si>
    <t>Coğrafya</t>
  </si>
  <si>
    <t>Felsefe</t>
  </si>
  <si>
    <t>Fizik</t>
  </si>
  <si>
    <t>Kimya</t>
  </si>
  <si>
    <t>Biyoloji</t>
  </si>
  <si>
    <t>Alan</t>
  </si>
  <si>
    <t>TYT</t>
  </si>
  <si>
    <t>AYT</t>
  </si>
  <si>
    <t>DERS</t>
  </si>
  <si>
    <t>ALAN</t>
  </si>
  <si>
    <t>S.Adedi/Süre</t>
  </si>
  <si>
    <t>S.Adedi/Süre:</t>
  </si>
  <si>
    <t>Soru Süresi    :</t>
  </si>
  <si>
    <t xml:space="preserve">Soru Adedi    : </t>
  </si>
  <si>
    <t>DERS              :</t>
  </si>
  <si>
    <t>ALAN              :</t>
  </si>
  <si>
    <t>Çözüldü           :</t>
  </si>
  <si>
    <t xml:space="preserve">Tarih                 :  </t>
  </si>
  <si>
    <t>YKS ÇALIŞMA TAKİP SİSTEMİ</t>
  </si>
  <si>
    <t>Çözüldü</t>
  </si>
  <si>
    <t>çözme kontol</t>
  </si>
  <si>
    <t>Soru Adedi</t>
  </si>
  <si>
    <t>Soru Süresi</t>
  </si>
  <si>
    <t>YKS ÇALIŞMA TAKİBİ ÇİZELGESİ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</si>
</sst>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F]d\ mmmm\ yyyy\ h:mm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Continuous"/>
    </xf>
    <xf numFmtId="2" fontId="5" fillId="3" borderId="0" xfId="0" applyNumberFormat="1" applyFont="1" applyFill="1" applyAlignment="1">
      <alignment horizontal="centerContinuous"/>
    </xf>
    <xf numFmtId="2" fontId="1" fillId="2" borderId="0" xfId="0" applyNumberFormat="1" applyFont="1" applyFill="1" applyAlignment="1">
      <alignment horizontal="center" vertical="center"/>
    </xf>
    <xf numFmtId="2" fontId="0" fillId="0" borderId="0" xfId="0" applyNumberFormat="1"/>
    <xf numFmtId="164" fontId="5" fillId="3" borderId="0" xfId="0" applyNumberFormat="1" applyFont="1" applyFill="1" applyAlignment="1">
      <alignment horizontal="centerContinuous"/>
    </xf>
    <xf numFmtId="164" fontId="0" fillId="0" borderId="0" xfId="0" applyNumberFormat="1"/>
    <xf numFmtId="0" fontId="5" fillId="0" borderId="0" xfId="0" applyFont="1"/>
    <xf numFmtId="0" fontId="5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6" fmlaLink="$E$2" fmlaRange="Sheet1!$B$2:$B$10" noThreeD="1" sel="7"/>
</file>

<file path=xl/ctrlProps/ctrlProp2.xml><?xml version="1.0" encoding="utf-8"?>
<formControlPr xmlns="http://schemas.microsoft.com/office/spreadsheetml/2009/9/main" objectType="Drop" dropStyle="combo" dx="26" fmlaLink="$E$3" fmlaRange="Sheet1!$E$2:$E$3" noThreeD="1" sel="2" val="0"/>
</file>

<file path=xl/ctrlProps/ctrlProp3.xml><?xml version="1.0" encoding="utf-8"?>
<formControlPr xmlns="http://schemas.microsoft.com/office/spreadsheetml/2009/9/main" objectType="Spin" dx="26" fmlaLink="$B$4" max="30000" page="10" val="12"/>
</file>

<file path=xl/ctrlProps/ctrlProp4.xml><?xml version="1.0" encoding="utf-8"?>
<formControlPr xmlns="http://schemas.microsoft.com/office/spreadsheetml/2009/9/main" objectType="CheckBox" checked="Checked" fmlaLink="$E$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</xdr:row>
          <xdr:rowOff>182880</xdr:rowOff>
        </xdr:from>
        <xdr:to>
          <xdr:col>1</xdr:col>
          <xdr:colOff>1988820</xdr:colOff>
          <xdr:row>1</xdr:row>
          <xdr:rowOff>464820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</xdr:row>
          <xdr:rowOff>129540</xdr:rowOff>
        </xdr:from>
        <xdr:to>
          <xdr:col>1</xdr:col>
          <xdr:colOff>1988820</xdr:colOff>
          <xdr:row>2</xdr:row>
          <xdr:rowOff>411480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1706880</xdr:colOff>
          <xdr:row>3</xdr:row>
          <xdr:rowOff>7620</xdr:rowOff>
        </xdr:from>
        <xdr:to>
          <xdr:col>1</xdr:col>
          <xdr:colOff>1973580</xdr:colOff>
          <xdr:row>3</xdr:row>
          <xdr:rowOff>464820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6</xdr:row>
          <xdr:rowOff>106680</xdr:rowOff>
        </xdr:from>
        <xdr:to>
          <xdr:col>2</xdr:col>
          <xdr:colOff>0</xdr:colOff>
          <xdr:row>6</xdr:row>
          <xdr:rowOff>434340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106680</xdr:colOff>
      <xdr:row>8</xdr:row>
      <xdr:rowOff>68580</xdr:rowOff>
    </xdr:from>
    <xdr:to>
      <xdr:col>1</xdr:col>
      <xdr:colOff>1394460</xdr:colOff>
      <xdr:row>8</xdr:row>
      <xdr:rowOff>396240</xdr:rowOff>
    </xdr:to>
    <xdr:sp macro="[0]!KAYDET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66800" y="3771900"/>
          <a:ext cx="1287780" cy="32766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/>
            <a:t>KAYDET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22860</xdr:rowOff>
    </xdr:from>
    <xdr:to>
      <xdr:col>9</xdr:col>
      <xdr:colOff>7620</xdr:colOff>
      <xdr:row>1</xdr:row>
      <xdr:rowOff>152400</xdr:rowOff>
    </xdr:to>
    <xdr:sp macro="[0]!SİL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585960" y="22860"/>
          <a:ext cx="1188720" cy="31242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tr-TR" sz="1100" b="1" cap="none" spc="0">
              <a:ln/>
              <a:solidFill>
                <a:schemeClr val="bg1"/>
              </a:solidFill>
              <a:effectLst/>
            </a:rPr>
            <a:t>SİL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workbookViewId="0">
      <selection activeCell="D3" sqref="D3"/>
    </sheetView>
  </sheetViews>
  <sheetFormatPr defaultRowHeight="14.4" x14ac:dyDescent="0.3"/>
  <sheetData>
    <row r="1" spans="1:5" x14ac:dyDescent="0.3">
      <c r="B1" t="s">
        <v>0</v>
      </c>
      <c r="E1" t="s">
        <v>10</v>
      </c>
    </row>
    <row r="2" spans="1:5" x14ac:dyDescent="0.3">
      <c r="A2">
        <v>1</v>
      </c>
      <c r="B2" t="s">
        <v>1</v>
      </c>
      <c r="D2">
        <v>1</v>
      </c>
      <c r="E2" t="s">
        <v>11</v>
      </c>
    </row>
    <row r="3" spans="1:5" x14ac:dyDescent="0.3">
      <c r="A3">
        <v>2</v>
      </c>
      <c r="B3" t="s">
        <v>2</v>
      </c>
      <c r="E3" t="s">
        <v>12</v>
      </c>
    </row>
    <row r="4" spans="1:5" x14ac:dyDescent="0.3">
      <c r="A4">
        <v>3</v>
      </c>
      <c r="B4" t="s">
        <v>3</v>
      </c>
    </row>
    <row r="5" spans="1:5" x14ac:dyDescent="0.3">
      <c r="A5">
        <v>4</v>
      </c>
      <c r="B5" t="s">
        <v>4</v>
      </c>
    </row>
    <row r="6" spans="1:5" x14ac:dyDescent="0.3">
      <c r="A6">
        <v>5</v>
      </c>
      <c r="B6" t="s">
        <v>5</v>
      </c>
    </row>
    <row r="7" spans="1:5" x14ac:dyDescent="0.3">
      <c r="A7">
        <v>6</v>
      </c>
      <c r="B7" t="s">
        <v>6</v>
      </c>
    </row>
    <row r="8" spans="1:5" x14ac:dyDescent="0.3">
      <c r="A8">
        <v>7</v>
      </c>
      <c r="B8" t="s">
        <v>7</v>
      </c>
    </row>
    <row r="9" spans="1:5" x14ac:dyDescent="0.3">
      <c r="A9">
        <v>8</v>
      </c>
      <c r="B9" t="s">
        <v>8</v>
      </c>
    </row>
    <row r="10" spans="1:5" x14ac:dyDescent="0.3">
      <c r="A10">
        <v>9</v>
      </c>
      <c r="B10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6555C-46ED-404A-B334-28C424EE5A56}">
  <dimension ref="A1:E9"/>
  <sheetViews>
    <sheetView workbookViewId="0">
      <selection activeCell="D7" sqref="D7"/>
    </sheetView>
  </sheetViews>
  <sheetFormatPr defaultRowHeight="14.4" x14ac:dyDescent="0.3"/>
  <cols>
    <col min="1" max="1" width="14" customWidth="1"/>
    <col min="2" max="2" width="34.5546875" customWidth="1"/>
    <col min="3" max="3" width="8.88671875" customWidth="1"/>
    <col min="4" max="4" width="12.33203125" bestFit="1" customWidth="1"/>
    <col min="5" max="5" width="8.88671875" customWidth="1"/>
  </cols>
  <sheetData>
    <row r="1" spans="1:5" x14ac:dyDescent="0.3">
      <c r="A1" s="16" t="s">
        <v>23</v>
      </c>
      <c r="B1" s="16"/>
    </row>
    <row r="2" spans="1:5" ht="39.6" customHeight="1" x14ac:dyDescent="0.3">
      <c r="A2" s="3" t="s">
        <v>19</v>
      </c>
      <c r="B2" s="2" t="str">
        <f>VLOOKUP(E2,Sheet1!A2:B10,2,0)</f>
        <v>Fizik</v>
      </c>
      <c r="D2" s="15" t="s">
        <v>13</v>
      </c>
      <c r="E2" s="15">
        <v>7</v>
      </c>
    </row>
    <row r="3" spans="1:5" ht="39.6" customHeight="1" x14ac:dyDescent="0.3">
      <c r="A3" s="3" t="s">
        <v>20</v>
      </c>
      <c r="B3" s="2" t="str">
        <f>INDEX(Sheet1!E2:E3,Sayfa1!E3)</f>
        <v>AYT</v>
      </c>
      <c r="D3" s="15" t="s">
        <v>14</v>
      </c>
      <c r="E3" s="15">
        <v>2</v>
      </c>
    </row>
    <row r="4" spans="1:5" ht="39.6" customHeight="1" x14ac:dyDescent="0.3">
      <c r="A4" s="3" t="s">
        <v>18</v>
      </c>
      <c r="B4" s="4">
        <v>12</v>
      </c>
      <c r="D4" s="15" t="s">
        <v>25</v>
      </c>
      <c r="E4" s="15" t="b">
        <v>1</v>
      </c>
    </row>
    <row r="5" spans="1:5" ht="39.6" customHeight="1" x14ac:dyDescent="0.3">
      <c r="A5" s="3" t="s">
        <v>17</v>
      </c>
      <c r="B5" s="5">
        <v>55</v>
      </c>
    </row>
    <row r="6" spans="1:5" ht="39.6" customHeight="1" x14ac:dyDescent="0.3">
      <c r="A6" s="3" t="s">
        <v>16</v>
      </c>
      <c r="B6" s="6">
        <f>B4/B5</f>
        <v>0.21818181818181817</v>
      </c>
    </row>
    <row r="7" spans="1:5" ht="39.6" customHeight="1" x14ac:dyDescent="0.3">
      <c r="A7" s="3" t="s">
        <v>21</v>
      </c>
      <c r="B7" s="5" t="str">
        <f>IF(E4=TRUE,"Çözüldü","Çözülmedi")</f>
        <v>Çözüldü</v>
      </c>
    </row>
    <row r="8" spans="1:5" ht="39.6" customHeight="1" x14ac:dyDescent="0.3">
      <c r="A8" s="3" t="s">
        <v>22</v>
      </c>
      <c r="B8" s="8">
        <f ca="1">NOW()</f>
        <v>45383.854581597225</v>
      </c>
    </row>
    <row r="9" spans="1:5" ht="39.6" customHeight="1" x14ac:dyDescent="0.3">
      <c r="A9" s="1"/>
      <c r="B9" s="1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Drop Down 9">
              <controlPr defaultSize="0" autoLine="0" autoPict="0">
                <anchor moveWithCells="1">
                  <from>
                    <xdr:col>1</xdr:col>
                    <xdr:colOff>152400</xdr:colOff>
                    <xdr:row>1</xdr:row>
                    <xdr:rowOff>182880</xdr:rowOff>
                  </from>
                  <to>
                    <xdr:col>1</xdr:col>
                    <xdr:colOff>1988820</xdr:colOff>
                    <xdr:row>1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Drop Down 10">
              <controlPr defaultSize="0" autoLine="0" autoPict="0">
                <anchor moveWithCells="1">
                  <from>
                    <xdr:col>1</xdr:col>
                    <xdr:colOff>152400</xdr:colOff>
                    <xdr:row>2</xdr:row>
                    <xdr:rowOff>129540</xdr:rowOff>
                  </from>
                  <to>
                    <xdr:col>1</xdr:col>
                    <xdr:colOff>1988820</xdr:colOff>
                    <xdr:row>2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Spinner 12">
              <controlPr defaultSize="0" autoPict="0">
                <anchor moveWithCells="1" sizeWithCells="1">
                  <from>
                    <xdr:col>1</xdr:col>
                    <xdr:colOff>1706880</xdr:colOff>
                    <xdr:row>3</xdr:row>
                    <xdr:rowOff>7620</xdr:rowOff>
                  </from>
                  <to>
                    <xdr:col>1</xdr:col>
                    <xdr:colOff>1973580</xdr:colOff>
                    <xdr:row>3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Check Box 15">
              <controlPr defaultSize="0" autoFill="0" autoLine="0" autoPict="0">
                <anchor moveWithCells="1">
                  <from>
                    <xdr:col>1</xdr:col>
                    <xdr:colOff>45720</xdr:colOff>
                    <xdr:row>6</xdr:row>
                    <xdr:rowOff>106680</xdr:rowOff>
                  </from>
                  <to>
                    <xdr:col>2</xdr:col>
                    <xdr:colOff>0</xdr:colOff>
                    <xdr:row>6</xdr:row>
                    <xdr:rowOff>434340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FB62D-51F1-415B-AF6A-EE81C7F1474D}">
  <dimension ref="A1:G7"/>
  <sheetViews>
    <sheetView tabSelected="1" workbookViewId="0">
      <selection activeCell="I7" sqref="I7"/>
    </sheetView>
  </sheetViews>
  <sheetFormatPr defaultRowHeight="14.4" x14ac:dyDescent="0.3"/>
  <cols>
    <col min="1" max="4" width="19.88671875" customWidth="1"/>
    <col min="5" max="5" width="19.88671875" style="12" customWidth="1"/>
    <col min="6" max="6" width="19.88671875" customWidth="1"/>
    <col min="7" max="7" width="19.88671875" style="14" customWidth="1"/>
  </cols>
  <sheetData>
    <row r="1" spans="1:7" x14ac:dyDescent="0.3">
      <c r="A1" s="9" t="s">
        <v>28</v>
      </c>
      <c r="B1" s="9"/>
      <c r="C1" s="9"/>
      <c r="D1" s="9"/>
      <c r="E1" s="10"/>
      <c r="F1" s="9"/>
      <c r="G1" s="13"/>
    </row>
    <row r="2" spans="1:7" x14ac:dyDescent="0.3">
      <c r="A2" s="3" t="s">
        <v>13</v>
      </c>
      <c r="B2" s="3" t="s">
        <v>14</v>
      </c>
      <c r="C2" s="3" t="s">
        <v>26</v>
      </c>
      <c r="D2" s="3" t="s">
        <v>27</v>
      </c>
      <c r="E2" s="11" t="s">
        <v>15</v>
      </c>
      <c r="F2" s="3" t="s">
        <v>24</v>
      </c>
      <c r="G2" s="7" t="s">
        <v>4</v>
      </c>
    </row>
    <row r="3" spans="1:7" x14ac:dyDescent="0.3">
      <c r="A3" t="s">
        <v>7</v>
      </c>
      <c r="B3" t="s">
        <v>11</v>
      </c>
      <c r="C3">
        <v>33</v>
      </c>
      <c r="D3">
        <v>55</v>
      </c>
      <c r="E3" s="12">
        <v>0.6</v>
      </c>
      <c r="F3" t="s">
        <v>24</v>
      </c>
      <c r="G3" s="14">
        <v>45383.847824884258</v>
      </c>
    </row>
    <row r="4" spans="1:7" x14ac:dyDescent="0.3">
      <c r="A4" t="s">
        <v>7</v>
      </c>
      <c r="B4" t="s">
        <v>11</v>
      </c>
      <c r="C4">
        <v>31</v>
      </c>
      <c r="D4">
        <v>55</v>
      </c>
      <c r="E4" s="12">
        <v>0.5636363636363636</v>
      </c>
      <c r="F4" t="s">
        <v>24</v>
      </c>
      <c r="G4" s="14">
        <v>45383.848526620372</v>
      </c>
    </row>
    <row r="5" spans="1:7" x14ac:dyDescent="0.3">
      <c r="A5" t="s">
        <v>7</v>
      </c>
      <c r="B5" t="s">
        <v>11</v>
      </c>
      <c r="C5">
        <v>31</v>
      </c>
      <c r="D5">
        <v>55</v>
      </c>
      <c r="E5" s="12">
        <v>0.5636363636363636</v>
      </c>
      <c r="F5" t="s">
        <v>24</v>
      </c>
      <c r="G5" s="14">
        <v>45383.848535763886</v>
      </c>
    </row>
    <row r="6" spans="1:7" x14ac:dyDescent="0.3">
      <c r="A6" t="s">
        <v>3</v>
      </c>
      <c r="B6" t="s">
        <v>12</v>
      </c>
      <c r="C6">
        <v>12</v>
      </c>
      <c r="D6">
        <v>55</v>
      </c>
      <c r="E6" s="12">
        <v>0.21818181818181817</v>
      </c>
      <c r="F6" t="s">
        <v>24</v>
      </c>
      <c r="G6" s="14">
        <v>45383.854526041665</v>
      </c>
    </row>
    <row r="7" spans="1:7" x14ac:dyDescent="0.3">
      <c r="A7" t="s">
        <v>7</v>
      </c>
      <c r="B7" t="s">
        <v>12</v>
      </c>
      <c r="C7">
        <v>12</v>
      </c>
      <c r="D7">
        <v>55</v>
      </c>
      <c r="E7" s="12">
        <v>0.21818181818181817</v>
      </c>
      <c r="F7" t="s">
        <v>24</v>
      </c>
      <c r="G7" s="14">
        <v>45383.854569560186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Sheet1</vt:lpstr>
      <vt:lpstr>Sayfa1</vt:lpstr>
      <vt:lpstr>Sayfa2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Eray Coşkun</dc:creator>
  <cp:lastModifiedBy>eray coşkun</cp:lastModifiedBy>
  <dcterms:created xsi:type="dcterms:W3CDTF">2015-06-05T18:17:20Z</dcterms:created>
  <dcterms:modified xsi:type="dcterms:W3CDTF">2024-04-01T17:30:40Z</dcterms:modified>
</cp:coreProperties>
</file>